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ym\Documents\GitHub\Complex_Geometry\ViralTF\"/>
    </mc:Choice>
  </mc:AlternateContent>
  <xr:revisionPtr revIDLastSave="0" documentId="13_ncr:1_{610EFB02-CA8E-4283-92DB-18BEED7A2EEC}" xr6:coauthVersionLast="47" xr6:coauthVersionMax="47" xr10:uidLastSave="{00000000-0000-0000-0000-000000000000}"/>
  <bookViews>
    <workbookView xWindow="-108" yWindow="-108" windowWidth="23256" windowHeight="12456" activeTab="1" xr2:uid="{58FA84F8-D911-41B6-93DB-E2EEFC427F37}"/>
  </bookViews>
  <sheets>
    <sheet name="all_models_ranking (3)" sheetId="4" r:id="rId1"/>
    <sheet name="all_models_ranking" sheetId="3" r:id="rId2"/>
  </sheets>
  <definedNames>
    <definedName name="ExternalData_1" localSheetId="1" hidden="1">all_models_ranking!$A$1:$G$26</definedName>
    <definedName name="ExternalData_2" localSheetId="0" hidden="1">'all_models_ranking (3)'!$A$1:$G$27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C9" i="3"/>
  <c r="F17" i="3"/>
  <c r="D14" i="3"/>
  <c r="E20" i="3"/>
  <c r="E19" i="3"/>
  <c r="F11" i="3"/>
  <c r="E18" i="3"/>
  <c r="F12" i="3"/>
  <c r="D15" i="3"/>
  <c r="D11" i="3"/>
  <c r="F15" i="3"/>
  <c r="C11" i="3"/>
  <c r="C7" i="3"/>
  <c r="G2" i="3"/>
  <c r="G9" i="3"/>
  <c r="D10" i="3"/>
  <c r="D17" i="3"/>
  <c r="G20" i="3"/>
  <c r="C12" i="3"/>
  <c r="F4" i="3"/>
  <c r="F10" i="3"/>
  <c r="F6" i="3"/>
  <c r="C6" i="3"/>
  <c r="C14" i="3"/>
  <c r="E12" i="3"/>
  <c r="F14" i="3"/>
  <c r="C19" i="3"/>
  <c r="C2" i="3"/>
  <c r="C21" i="3"/>
  <c r="C20" i="3"/>
  <c r="D19" i="3"/>
  <c r="C18" i="3"/>
  <c r="D4" i="3"/>
  <c r="G14" i="3"/>
  <c r="F21" i="3"/>
  <c r="C13" i="3"/>
  <c r="G12" i="3"/>
  <c r="D16" i="3"/>
  <c r="G3" i="3"/>
  <c r="G8" i="3"/>
  <c r="E14" i="3"/>
  <c r="E21" i="3"/>
  <c r="C10" i="3"/>
  <c r="E2" i="3"/>
  <c r="D3" i="3"/>
  <c r="D2" i="3"/>
  <c r="D6" i="3"/>
  <c r="E3" i="3"/>
  <c r="G21" i="3"/>
  <c r="D12" i="3"/>
  <c r="C4" i="3"/>
  <c r="F18" i="3"/>
  <c r="E4" i="3"/>
  <c r="D5" i="3"/>
  <c r="G15" i="3"/>
  <c r="G6" i="3"/>
  <c r="D9" i="3"/>
  <c r="C16" i="3"/>
  <c r="F20" i="3"/>
  <c r="F5" i="3"/>
  <c r="G19" i="3"/>
  <c r="D8" i="3"/>
  <c r="E15" i="3"/>
  <c r="E7" i="3"/>
  <c r="G7" i="3"/>
  <c r="G18" i="3"/>
  <c r="G16" i="3"/>
  <c r="F2" i="3"/>
  <c r="G13" i="3"/>
  <c r="F8" i="3"/>
  <c r="E6" i="3"/>
  <c r="E5" i="3"/>
  <c r="G10" i="3"/>
  <c r="F19" i="3"/>
  <c r="C5" i="3"/>
  <c r="G5" i="3"/>
  <c r="C3" i="3"/>
  <c r="E10" i="3"/>
  <c r="D20" i="3"/>
  <c r="D13" i="3"/>
  <c r="E8" i="3"/>
  <c r="F9" i="3"/>
  <c r="G17" i="3"/>
  <c r="G11" i="3"/>
  <c r="D7" i="3"/>
  <c r="E16" i="3"/>
  <c r="E17" i="3"/>
  <c r="F16" i="3"/>
  <c r="F7" i="3"/>
  <c r="F13" i="3"/>
  <c r="C17" i="3"/>
  <c r="C15" i="3"/>
  <c r="C8" i="3"/>
  <c r="F3" i="3"/>
  <c r="E13" i="3"/>
  <c r="E9" i="3"/>
  <c r="D18" i="3"/>
  <c r="E1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F6AEE-3DF5-4570-B0E4-3A705D26943C}" keepAlive="1" name="Query - all_models_ranking" description="Connection to the 'all_models_ranking' query in the workbook." type="5" refreshedVersion="8" background="1" saveData="1">
    <dbPr connection="Provider=Microsoft.Mashup.OleDb.1;Data Source=$Workbook$;Location=all_models_ranking;Extended Properties=&quot;&quot;" command="SELECT * FROM [all_models_ranking]"/>
  </connection>
  <connection id="2" xr16:uid="{2872FDC7-19EE-4FF5-A80E-417E166C2D10}" keepAlive="1" name="Query - all_models_ranking (2)" description="Connection to the 'all_models_ranking (2)' query in the workbook." type="5" refreshedVersion="8" background="1" saveData="1">
    <dbPr connection="Provider=Microsoft.Mashup.OleDb.1;Data Source=$Workbook$;Location=&quot;all_models_ranking (2)&quot;;Extended Properties=&quot;&quot;" command="SELECT * FROM [all_models_ranking (2)]"/>
  </connection>
  <connection id="3" xr16:uid="{149E1E4E-DECF-4AC1-8309-EA8EF511F6AA}" keepAlive="1" name="Query - all_models_ranking (3)" description="Connection to the 'all_models_ranking (3)' query in the workbook." type="5" refreshedVersion="8" background="1" saveData="1">
    <dbPr connection="Provider=Microsoft.Mashup.OleDb.1;Data Source=$Workbook$;Location=&quot;all_models_ranking (3)&quot;;Extended Properties=&quot;&quot;" command="SELECT * FROM [all_models_ranking (3)]"/>
  </connection>
</connections>
</file>

<file path=xl/sharedStrings.xml><?xml version="1.0" encoding="utf-8"?>
<sst xmlns="http://schemas.openxmlformats.org/spreadsheetml/2006/main" count="246" uniqueCount="164">
  <si>
    <t>models</t>
  </si>
  <si>
    <t>has_clash</t>
  </si>
  <si>
    <t>ptm</t>
  </si>
  <si>
    <t>iptm</t>
  </si>
  <si>
    <t>ranking_score</t>
  </si>
  <si>
    <t>num_recycles</t>
  </si>
  <si>
    <t>fraction_disordered</t>
  </si>
  <si>
    <t>ViralTFs_BNYVV_P25_ssDNA_4</t>
  </si>
  <si>
    <t>0.0</t>
  </si>
  <si>
    <t>ViralTFs_BNYVV_P25_ssDNA_0</t>
  </si>
  <si>
    <t>ViralTFs_BNYVV_P25_ssDNA_1</t>
  </si>
  <si>
    <t>ViralTFs_BNYVV_P25_ssDNA_2</t>
  </si>
  <si>
    <t>ViralTFs_BNYVV_P25_ssDNA_3</t>
  </si>
  <si>
    <t>ViralTFs_BNYVV_P25_monomer_1Zn_dsDNA_0</t>
  </si>
  <si>
    <t>ViralTFs_BNYVV_P25_monomer_1Zn_dsDNA_1</t>
  </si>
  <si>
    <t>ViralTFs_BNYVV_P25_monomer_1Zn_dsDNA_2</t>
  </si>
  <si>
    <t>ViralTFs_BNYVV_P25_monomer_1Zn_dsDNA_3</t>
  </si>
  <si>
    <t>ViralTFs_BNYVV_P25_monomer_1Zn_dsDNA_4</t>
  </si>
  <si>
    <t>ViralTFs_BNYVV_P25_dimer_2Zn_ssDNA_0</t>
  </si>
  <si>
    <t>ViralTFs_BNYVV_P25_dimer_2Zn_ssDNA_1</t>
  </si>
  <si>
    <t>ViralTFs_BNYVV_P25_dimer_2Zn_ssDNA_2</t>
  </si>
  <si>
    <t>ViralTFs_BNYVV_P25_dimer_2Zn_ssDNA_3</t>
  </si>
  <si>
    <t>ViralTFs_BNYVV_P25_dimer_2Zn_ssDNA_4</t>
  </si>
  <si>
    <t>ViralTFs_BNYVV_P25_dimer_2Zn_dsDNA_0</t>
  </si>
  <si>
    <t>ViralTFs_BNYVV_P25_dimer_2Zn_dsDNA_1</t>
  </si>
  <si>
    <t>ViralTFs_BNYVV_P25_dimer_2Zn_dsDNA_2</t>
  </si>
  <si>
    <t>ViralTFs_BNYVV_P25_dimer_2Zn_dsDNA_3</t>
  </si>
  <si>
    <t>ViralTFs_BNYVV_P25_dimer_2Zn_dsDNA_4</t>
  </si>
  <si>
    <t>ViralTFs_BNYVV_P25_dimer_dsDNA_0</t>
  </si>
  <si>
    <t>ViralTFs_BNYVV_P25_dimer_dsDNA_1</t>
  </si>
  <si>
    <t>ViralTFs_BNYVV_P25_dimer_dsDNA_2</t>
  </si>
  <si>
    <t>ViralTFs_BNYVV_P25_dimer_dsDNA_3</t>
  </si>
  <si>
    <t>ViralTFs_BNYVV_P25_dimer_dsDNA_4</t>
  </si>
  <si>
    <t>Column1</t>
  </si>
  <si>
    <t>Column2</t>
  </si>
  <si>
    <t>Column3</t>
  </si>
  <si>
    <t>Column4</t>
  </si>
  <si>
    <t>Column5</t>
  </si>
  <si>
    <t>Column6</t>
  </si>
  <si>
    <t>Column7</t>
  </si>
  <si>
    <t>0.63</t>
  </si>
  <si>
    <t>0.29</t>
  </si>
  <si>
    <t>0.39</t>
  </si>
  <si>
    <t>10.0</t>
  </si>
  <si>
    <t>0.06</t>
  </si>
  <si>
    <t>0.72</t>
  </si>
  <si>
    <t>0.6</t>
  </si>
  <si>
    <t>0.62</t>
  </si>
  <si>
    <t>0.69</t>
  </si>
  <si>
    <t>0.42</t>
  </si>
  <si>
    <t>0.47</t>
  </si>
  <si>
    <t>0.44</t>
  </si>
  <si>
    <t>0.01</t>
  </si>
  <si>
    <t>0.64</t>
  </si>
  <si>
    <t>0.34</t>
  </si>
  <si>
    <t>0.04</t>
  </si>
  <si>
    <t>ViralTFs_BNYVV_P25_dimer_4Zn_dsDNA_0</t>
  </si>
  <si>
    <t>0.9218642115592957</t>
  </si>
  <si>
    <t>0.925177276134491</t>
  </si>
  <si>
    <t>72.5</t>
  </si>
  <si>
    <t>0.9225268363952637</t>
  </si>
  <si>
    <t>0.42247071862220764</t>
  </si>
  <si>
    <t>ViralTFs_BNYVV_P25_dimer_4Zn_dsDNA_1</t>
  </si>
  <si>
    <t>0.8632305860519409</t>
  </si>
  <si>
    <t>0.8989976644515991</t>
  </si>
  <si>
    <t>71.0</t>
  </si>
  <si>
    <t>0.8703840374946594</t>
  </si>
  <si>
    <t>0.470383882522583</t>
  </si>
  <si>
    <t>ViralTFs_BNYVV_P25_dimer_4Zn_dsDNA_2</t>
  </si>
  <si>
    <t>0.8537387847900391</t>
  </si>
  <si>
    <t>0.8917579650878906</t>
  </si>
  <si>
    <t>70.0</t>
  </si>
  <si>
    <t>0.8613426089286804</t>
  </si>
  <si>
    <t>0.4993717074394226</t>
  </si>
  <si>
    <t>ViralTFs_BNYVV_P25_dimer_4Zn_dsDNA_3</t>
  </si>
  <si>
    <t>0.7393686175346375</t>
  </si>
  <si>
    <t>0.8241908550262451</t>
  </si>
  <si>
    <t>70.5</t>
  </si>
  <si>
    <t>0.7563331127166748</t>
  </si>
  <si>
    <t>0.6080020666122437</t>
  </si>
  <si>
    <t>ViralTFs_BNYVV_P25_dimer_4Zn_dsDNA_4</t>
  </si>
  <si>
    <t>0.7308915257453918</t>
  </si>
  <si>
    <t>0.815973162651062</t>
  </si>
  <si>
    <t>69.0</t>
  </si>
  <si>
    <t>0.7479078769683838</t>
  </si>
  <si>
    <t>0.5941836833953857</t>
  </si>
  <si>
    <t>0.8918374180793762</t>
  </si>
  <si>
    <t>0.8931817412376404</t>
  </si>
  <si>
    <t>89.5</t>
  </si>
  <si>
    <t>0.892106294631958</t>
  </si>
  <si>
    <t>0.36468812823295593</t>
  </si>
  <si>
    <t>0.8856301307678223</t>
  </si>
  <si>
    <t>0.8966591358184814</t>
  </si>
  <si>
    <t>88.0</t>
  </si>
  <si>
    <t>0.8878359794616699</t>
  </si>
  <si>
    <t>0.3748258352279663</t>
  </si>
  <si>
    <t>0.8828423619270325</t>
  </si>
  <si>
    <t>0.8900493383407593</t>
  </si>
  <si>
    <t>89.0</t>
  </si>
  <si>
    <t>0.8842837810516357</t>
  </si>
  <si>
    <t>0.38218551874160767</t>
  </si>
  <si>
    <t>0.8675106763839722</t>
  </si>
  <si>
    <t>0.8803862929344177</t>
  </si>
  <si>
    <t>88.5</t>
  </si>
  <si>
    <t>0.8700857758522034</t>
  </si>
  <si>
    <t>0.3740402162075043</t>
  </si>
  <si>
    <t>0.5091885924339294</t>
  </si>
  <si>
    <t>0.7508960366249084</t>
  </si>
  <si>
    <t>86.5</t>
  </si>
  <si>
    <t>0.5575300455093384</t>
  </si>
  <si>
    <t>0.5507391691207886</t>
  </si>
  <si>
    <t>0.7515290975570679</t>
  </si>
  <si>
    <t>0.8267848491668701</t>
  </si>
  <si>
    <t>64.5</t>
  </si>
  <si>
    <t>0.7665802836418152</t>
  </si>
  <si>
    <t>0.6941697001457214</t>
  </si>
  <si>
    <t>0.7403265833854675</t>
  </si>
  <si>
    <t>0.8212262988090515</t>
  </si>
  <si>
    <t>63.25</t>
  </si>
  <si>
    <t>0.7565065026283264</t>
  </si>
  <si>
    <t>0.6939536333084106</t>
  </si>
  <si>
    <t>0.7365497350692749</t>
  </si>
  <si>
    <t>0.8208973407745361</t>
  </si>
  <si>
    <t>0.7534192800521851</t>
  </si>
  <si>
    <t>0.6693875193595886</t>
  </si>
  <si>
    <t>0.7268961071968079</t>
  </si>
  <si>
    <t>0.8175038695335388</t>
  </si>
  <si>
    <t>64.0</t>
  </si>
  <si>
    <t>0.7450177073478699</t>
  </si>
  <si>
    <t>0.6876546144485474</t>
  </si>
  <si>
    <t>0.7041326761245728</t>
  </si>
  <si>
    <t>0.8040653467178345</t>
  </si>
  <si>
    <t>0.724119246006012</t>
  </si>
  <si>
    <t>0.7078202962875366</t>
  </si>
  <si>
    <t>BNYVV_P25_P19229_dsDNA_0</t>
  </si>
  <si>
    <t>0.2633008062839508</t>
  </si>
  <si>
    <t>0.39642760157585144</t>
  </si>
  <si>
    <t>61.69135665893555</t>
  </si>
  <si>
    <t>0.2899261713027954</t>
  </si>
  <si>
    <t>1.9062919616699219</t>
  </si>
  <si>
    <t>BNYVV_P25_P19229_dsDNA_1</t>
  </si>
  <si>
    <t>0.25112301111221313</t>
  </si>
  <si>
    <t>0.38987889885902405</t>
  </si>
  <si>
    <t>61.090911865234375</t>
  </si>
  <si>
    <t>0.2788741886615753</t>
  </si>
  <si>
    <t>1.9269465208053589</t>
  </si>
  <si>
    <t>BNYVV_P25_P19229_dsDNA_2</t>
  </si>
  <si>
    <t>0.2193937450647354</t>
  </si>
  <si>
    <t>0.3979736566543579</t>
  </si>
  <si>
    <t>60.44900894165039</t>
  </si>
  <si>
    <t>0.2551097273826599</t>
  </si>
  <si>
    <t>1.904374361038208</t>
  </si>
  <si>
    <t>BNYVV_P25_P19229_dsDNA_3</t>
  </si>
  <si>
    <t>0.21973995864391327</t>
  </si>
  <si>
    <t>0.3839881420135498</t>
  </si>
  <si>
    <t>60.85626983642578</t>
  </si>
  <si>
    <t>0.2525895833969116</t>
  </si>
  <si>
    <t>1.9213573932647705</t>
  </si>
  <si>
    <t>BNYVV_P25_P19229_dsDNA_4</t>
  </si>
  <si>
    <t>0.20416182279586792</t>
  </si>
  <si>
    <t>0.3934057354927063</t>
  </si>
  <si>
    <t>60.86088562011719</t>
  </si>
  <si>
    <t>0.24201062321662903</t>
  </si>
  <si>
    <t>1.9225131273269653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</si>
</sst>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75B695-7FCD-46F8-9B0D-E5AD928B146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4301E9-A1D2-4B08-8B54-4764B774DCC8}" autoFormatId="16" applyNumberFormats="0" applyBorderFormats="0" applyFontFormats="0" applyPatternFormats="0" applyAlignmentFormats="0" applyWidthHeightFormats="0">
  <queryTableRefresh nextId="13">
    <queryTableFields count="7">
      <queryTableField id="1" name="models" tableColumnId="1"/>
      <queryTableField id="2" name="has_clash" tableColumnId="2"/>
      <queryTableField id="3" name="ptm" tableColumnId="3"/>
      <queryTableField id="4" name="iptm" tableColumnId="4"/>
      <queryTableField id="5" name="ranking_score" tableColumnId="5"/>
      <queryTableField id="6" name="num_recycles" tableColumnId="6"/>
      <queryTableField id="7" name="fraction_disorder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19123-D417-428E-868D-64A6DC1A8081}" name="all_models_ranking__3" displayName="all_models_ranking__3" ref="A1:G27" tableType="queryTable" totalsRowShown="0">
  <autoFilter ref="A1:G27" xr:uid="{11119123-D417-428E-868D-64A6DC1A8081}"/>
  <tableColumns count="7">
    <tableColumn id="1" xr3:uid="{88C0C220-5FC4-4A89-AAEA-55419C97E409}" uniqueName="1" name="Column1" queryTableFieldId="1" dataDxfId="6"/>
    <tableColumn id="2" xr3:uid="{9501037D-1B4D-4E1C-805D-9CEB92FB873D}" uniqueName="2" name="Column2" queryTableFieldId="2" dataDxfId="5"/>
    <tableColumn id="3" xr3:uid="{A7134A4D-9E48-4593-85D0-D9E47E697FCE}" uniqueName="3" name="Column3" queryTableFieldId="3" dataDxfId="4"/>
    <tableColumn id="4" xr3:uid="{E22BFCA7-7EA0-4E14-81FD-EA3549172F3E}" uniqueName="4" name="Column4" queryTableFieldId="4" dataDxfId="3"/>
    <tableColumn id="5" xr3:uid="{D6CF8E91-F6D9-426C-AA44-09EDFEC3C6D0}" uniqueName="5" name="Column5" queryTableFieldId="5" dataDxfId="2"/>
    <tableColumn id="6" xr3:uid="{1AB000FF-88E2-492A-B6F5-DEC20166B3E7}" uniqueName="6" name="Column6" queryTableFieldId="6" dataDxfId="1"/>
    <tableColumn id="7" xr3:uid="{098E110A-DC6E-49B2-A537-BFC5289E522D}" uniqueName="7" name="Column7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82A3C-002D-4661-BC2A-D30E050D11D0}" name="all_models_ranking__2" displayName="all_models_ranking__2" ref="A1:G26" tableType="queryTable" totalsRowShown="0">
  <autoFilter ref="A1:G26" xr:uid="{C0082A3C-002D-4661-BC2A-D30E050D11D0}"/>
  <tableColumns count="7">
    <tableColumn id="1" xr3:uid="{59AF72E8-F300-47C6-A268-4FF5CD576201}" uniqueName="1" name="models" queryTableFieldId="1" dataDxfId="13"/>
    <tableColumn id="2" xr3:uid="{712A4330-6F6C-4C7C-84C7-51BD27C105B7}" uniqueName="2" name="has_clash" queryTableFieldId="2" dataDxfId="12"/>
    <tableColumn id="3" xr3:uid="{BC92DF91-7D2D-4247-BEDE-F47DD316169C}" uniqueName="3" name="ptm" queryTableFieldId="3" dataDxfId="11"/>
    <tableColumn id="4" xr3:uid="{7D8D7C1C-7428-4AE0-BC3C-7B77CCF367D9}" uniqueName="4" name="iptm" queryTableFieldId="4" dataDxfId="10"/>
    <tableColumn id="5" xr3:uid="{4487EFB3-21B0-48A5-9618-20F02858C226}" uniqueName="5" name="ranking_score" queryTableFieldId="5" dataDxfId="9"/>
    <tableColumn id="6" xr3:uid="{D19ED84C-DDC7-43C3-A15E-741CDE4C078B}" uniqueName="6" name="num_recycles" queryTableFieldId="6" dataDxfId="8"/>
    <tableColumn id="7" xr3:uid="{9CF450AD-9A62-47EE-8756-BA71E8C860A3}" uniqueName="7" name="fraction_disordered" queryTableFieldId="7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FF8F-2D53-43A9-AA1E-C9ACFBDEAEAB}">
  <dimension ref="A1:G27"/>
  <sheetViews>
    <sheetView topLeftCell="A7" workbookViewId="0">
      <selection activeCell="E28" sqref="E28"/>
    </sheetView>
  </sheetViews>
  <sheetFormatPr defaultRowHeight="14.4" x14ac:dyDescent="0.3"/>
  <cols>
    <col min="1" max="1" width="38.88671875" bestFit="1" customWidth="1"/>
    <col min="2" max="2" width="10.6640625" bestFit="1" customWidth="1"/>
    <col min="3" max="4" width="19.77734375" bestFit="1" customWidth="1"/>
    <col min="5" max="5" width="18.77734375" bestFit="1" customWidth="1"/>
    <col min="6" max="7" width="19.77734375" bestFit="1" customWidth="1"/>
  </cols>
  <sheetData>
    <row r="1" spans="1:7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">
      <c r="A3" s="4" t="s">
        <v>7</v>
      </c>
      <c r="B3" s="4" t="s">
        <v>8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</row>
    <row r="4" spans="1:7" x14ac:dyDescent="0.3">
      <c r="A4" s="4" t="s">
        <v>9</v>
      </c>
      <c r="B4" s="4" t="s">
        <v>8</v>
      </c>
      <c r="C4" s="4" t="s">
        <v>45</v>
      </c>
      <c r="D4" s="4" t="s">
        <v>46</v>
      </c>
      <c r="E4" s="4" t="s">
        <v>47</v>
      </c>
      <c r="F4" s="4" t="s">
        <v>43</v>
      </c>
      <c r="G4" s="4" t="s">
        <v>8</v>
      </c>
    </row>
    <row r="5" spans="1:7" x14ac:dyDescent="0.3">
      <c r="A5" s="4" t="s">
        <v>10</v>
      </c>
      <c r="B5" s="4" t="s">
        <v>8</v>
      </c>
      <c r="C5" s="4" t="s">
        <v>48</v>
      </c>
      <c r="D5" s="4" t="s">
        <v>49</v>
      </c>
      <c r="E5" s="4" t="s">
        <v>50</v>
      </c>
      <c r="F5" s="4" t="s">
        <v>43</v>
      </c>
      <c r="G5" s="4" t="s">
        <v>8</v>
      </c>
    </row>
    <row r="6" spans="1:7" x14ac:dyDescent="0.3">
      <c r="A6" s="4" t="s">
        <v>11</v>
      </c>
      <c r="B6" s="4" t="s">
        <v>8</v>
      </c>
      <c r="C6" s="4" t="s">
        <v>40</v>
      </c>
      <c r="D6" s="4" t="s">
        <v>42</v>
      </c>
      <c r="E6" s="4" t="s">
        <v>51</v>
      </c>
      <c r="F6" s="4" t="s">
        <v>43</v>
      </c>
      <c r="G6" s="4" t="s">
        <v>52</v>
      </c>
    </row>
    <row r="7" spans="1:7" x14ac:dyDescent="0.3">
      <c r="A7" s="4" t="s">
        <v>12</v>
      </c>
      <c r="B7" s="4" t="s">
        <v>8</v>
      </c>
      <c r="C7" s="4" t="s">
        <v>53</v>
      </c>
      <c r="D7" s="4" t="s">
        <v>54</v>
      </c>
      <c r="E7" s="4" t="s">
        <v>49</v>
      </c>
      <c r="F7" s="4" t="s">
        <v>43</v>
      </c>
      <c r="G7" s="4" t="s">
        <v>55</v>
      </c>
    </row>
    <row r="8" spans="1:7" x14ac:dyDescent="0.3">
      <c r="A8" s="4" t="s">
        <v>56</v>
      </c>
      <c r="B8" s="4" t="s">
        <v>8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</row>
    <row r="9" spans="1:7" x14ac:dyDescent="0.3">
      <c r="A9" s="4" t="s">
        <v>62</v>
      </c>
      <c r="B9" s="4" t="s">
        <v>8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</row>
    <row r="10" spans="1:7" x14ac:dyDescent="0.3">
      <c r="A10" s="4" t="s">
        <v>68</v>
      </c>
      <c r="B10" s="4" t="s">
        <v>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</row>
    <row r="11" spans="1:7" x14ac:dyDescent="0.3">
      <c r="A11" s="4" t="s">
        <v>74</v>
      </c>
      <c r="B11" s="4" t="s">
        <v>8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</row>
    <row r="12" spans="1:7" x14ac:dyDescent="0.3">
      <c r="A12" s="4" t="s">
        <v>80</v>
      </c>
      <c r="B12" s="4" t="s">
        <v>8</v>
      </c>
      <c r="C12" s="4" t="s">
        <v>81</v>
      </c>
      <c r="D12" s="4" t="s">
        <v>82</v>
      </c>
      <c r="E12" s="4" t="s">
        <v>83</v>
      </c>
      <c r="F12" s="4" t="s">
        <v>84</v>
      </c>
      <c r="G12" s="4" t="s">
        <v>85</v>
      </c>
    </row>
    <row r="13" spans="1:7" x14ac:dyDescent="0.3">
      <c r="A13" s="4" t="s">
        <v>13</v>
      </c>
      <c r="B13" s="4" t="s">
        <v>8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</row>
    <row r="14" spans="1:7" x14ac:dyDescent="0.3">
      <c r="A14" s="4" t="s">
        <v>14</v>
      </c>
      <c r="B14" s="4" t="s">
        <v>8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</row>
    <row r="15" spans="1:7" x14ac:dyDescent="0.3">
      <c r="A15" s="4" t="s">
        <v>15</v>
      </c>
      <c r="B15" s="4" t="s">
        <v>8</v>
      </c>
      <c r="C15" s="4" t="s">
        <v>96</v>
      </c>
      <c r="D15" s="4" t="s">
        <v>97</v>
      </c>
      <c r="E15" s="4" t="s">
        <v>98</v>
      </c>
      <c r="F15" s="4" t="s">
        <v>99</v>
      </c>
      <c r="G15" s="4" t="s">
        <v>100</v>
      </c>
    </row>
    <row r="16" spans="1:7" x14ac:dyDescent="0.3">
      <c r="A16" s="4" t="s">
        <v>16</v>
      </c>
      <c r="B16" s="4" t="s">
        <v>8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</row>
    <row r="17" spans="1:7" x14ac:dyDescent="0.3">
      <c r="A17" s="4" t="s">
        <v>17</v>
      </c>
      <c r="B17" s="4" t="s">
        <v>8</v>
      </c>
      <c r="C17" s="4" t="s">
        <v>106</v>
      </c>
      <c r="D17" s="4" t="s">
        <v>107</v>
      </c>
      <c r="E17" s="4" t="s">
        <v>108</v>
      </c>
      <c r="F17" s="4" t="s">
        <v>109</v>
      </c>
      <c r="G17" s="4" t="s">
        <v>110</v>
      </c>
    </row>
    <row r="18" spans="1:7" x14ac:dyDescent="0.3">
      <c r="A18" s="4" t="s">
        <v>18</v>
      </c>
      <c r="B18" s="4" t="s">
        <v>8</v>
      </c>
      <c r="C18" s="4" t="s">
        <v>111</v>
      </c>
      <c r="D18" s="4" t="s">
        <v>112</v>
      </c>
      <c r="E18" s="4" t="s">
        <v>113</v>
      </c>
      <c r="F18" s="4" t="s">
        <v>114</v>
      </c>
      <c r="G18" s="4" t="s">
        <v>115</v>
      </c>
    </row>
    <row r="19" spans="1:7" x14ac:dyDescent="0.3">
      <c r="A19" s="4" t="s">
        <v>19</v>
      </c>
      <c r="B19" s="4" t="s">
        <v>8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120</v>
      </c>
    </row>
    <row r="20" spans="1:7" x14ac:dyDescent="0.3">
      <c r="A20" s="4" t="s">
        <v>20</v>
      </c>
      <c r="B20" s="4" t="s">
        <v>8</v>
      </c>
      <c r="C20" s="4" t="s">
        <v>121</v>
      </c>
      <c r="D20" s="4" t="s">
        <v>122</v>
      </c>
      <c r="E20" s="4" t="s">
        <v>118</v>
      </c>
      <c r="F20" s="4" t="s">
        <v>123</v>
      </c>
      <c r="G20" s="4" t="s">
        <v>124</v>
      </c>
    </row>
    <row r="21" spans="1:7" x14ac:dyDescent="0.3">
      <c r="A21" s="4" t="s">
        <v>21</v>
      </c>
      <c r="B21" s="4" t="s">
        <v>8</v>
      </c>
      <c r="C21" s="4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</row>
    <row r="22" spans="1:7" x14ac:dyDescent="0.3">
      <c r="A22" s="4" t="s">
        <v>22</v>
      </c>
      <c r="B22" s="4" t="s">
        <v>8</v>
      </c>
      <c r="C22" s="4" t="s">
        <v>130</v>
      </c>
      <c r="D22" s="4" t="s">
        <v>131</v>
      </c>
      <c r="E22" s="4" t="s">
        <v>127</v>
      </c>
      <c r="F22" s="4" t="s">
        <v>132</v>
      </c>
      <c r="G22" s="4" t="s">
        <v>133</v>
      </c>
    </row>
    <row r="23" spans="1:7" x14ac:dyDescent="0.3">
      <c r="A23" s="4" t="s">
        <v>134</v>
      </c>
      <c r="B23" s="4" t="s">
        <v>8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139</v>
      </c>
    </row>
    <row r="24" spans="1:7" x14ac:dyDescent="0.3">
      <c r="A24" s="4" t="s">
        <v>140</v>
      </c>
      <c r="B24" s="4" t="s">
        <v>8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145</v>
      </c>
    </row>
    <row r="25" spans="1:7" x14ac:dyDescent="0.3">
      <c r="A25" s="4" t="s">
        <v>146</v>
      </c>
      <c r="B25" s="4" t="s">
        <v>8</v>
      </c>
      <c r="C25" s="1" t="s">
        <v>147</v>
      </c>
      <c r="D25" s="1" t="s">
        <v>148</v>
      </c>
      <c r="E25" s="1" t="s">
        <v>149</v>
      </c>
      <c r="F25" s="1" t="s">
        <v>150</v>
      </c>
      <c r="G25" s="1" t="s">
        <v>151</v>
      </c>
    </row>
    <row r="26" spans="1:7" x14ac:dyDescent="0.3">
      <c r="A26" s="4" t="s">
        <v>152</v>
      </c>
      <c r="B26" s="4" t="s">
        <v>8</v>
      </c>
      <c r="C26" s="1" t="s">
        <v>153</v>
      </c>
      <c r="D26" s="1" t="s">
        <v>154</v>
      </c>
      <c r="E26" s="1" t="s">
        <v>155</v>
      </c>
      <c r="F26" s="1" t="s">
        <v>156</v>
      </c>
      <c r="G26" s="1" t="s">
        <v>157</v>
      </c>
    </row>
    <row r="27" spans="1:7" x14ac:dyDescent="0.3">
      <c r="A27" s="4" t="s">
        <v>158</v>
      </c>
      <c r="B27" s="4" t="s">
        <v>8</v>
      </c>
      <c r="C27" s="1" t="s">
        <v>159</v>
      </c>
      <c r="D27" s="1" t="s">
        <v>160</v>
      </c>
      <c r="E27" s="1" t="s">
        <v>161</v>
      </c>
      <c r="F27" s="1" t="s">
        <v>162</v>
      </c>
      <c r="G27" s="1" t="s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9916-E9D0-4874-8FFF-AF9652DB08B7}">
  <dimension ref="A1:G26"/>
  <sheetViews>
    <sheetView tabSelected="1" workbookViewId="0">
      <selection activeCell="B11" sqref="B11:G11"/>
    </sheetView>
  </sheetViews>
  <sheetFormatPr defaultRowHeight="14.4" x14ac:dyDescent="0.3"/>
  <cols>
    <col min="1" max="1" width="38.88671875" bestFit="1" customWidth="1"/>
    <col min="2" max="2" width="11.33203125" bestFit="1" customWidth="1"/>
    <col min="3" max="3" width="6.6640625" bestFit="1" customWidth="1"/>
    <col min="4" max="4" width="7.21875" bestFit="1" customWidth="1"/>
    <col min="5" max="6" width="14.6640625" bestFit="1" customWidth="1"/>
    <col min="7" max="7" width="1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s="1">
        <f ca="1">all_models_ranking__2[[#This Row],[ptm]]+0</f>
        <v>0.63</v>
      </c>
      <c r="D2" s="1">
        <f ca="1">all_models_ranking__2[[#This Row],[iptm]]+0</f>
        <v>0.28999999999999998</v>
      </c>
      <c r="E2" s="1">
        <f ca="1">all_models_ranking__2[[#This Row],[ranking_score]]+0</f>
        <v>0.39</v>
      </c>
      <c r="F2" s="1">
        <f ca="1">all_models_ranking__2[[#This Row],[num_recycles]]+0</f>
        <v>10</v>
      </c>
      <c r="G2" s="1">
        <f ca="1">all_models_ranking__2[[#This Row],[fraction_disordered]]+0</f>
        <v>0.06</v>
      </c>
    </row>
    <row r="3" spans="1:7" x14ac:dyDescent="0.3">
      <c r="A3" s="2" t="s">
        <v>9</v>
      </c>
      <c r="B3" s="3" t="s">
        <v>8</v>
      </c>
      <c r="C3" s="3">
        <f ca="1">all_models_ranking__2[[#This Row],[ptm]]+0</f>
        <v>0.72</v>
      </c>
      <c r="D3" s="3">
        <f ca="1">all_models_ranking__2[[#This Row],[iptm]]+0</f>
        <v>0.6</v>
      </c>
      <c r="E3" s="3">
        <f ca="1">all_models_ranking__2[[#This Row],[ranking_score]]+0</f>
        <v>0.62</v>
      </c>
      <c r="F3" s="3">
        <f ca="1">all_models_ranking__2[[#This Row],[num_recycles]]+0</f>
        <v>10</v>
      </c>
      <c r="G3" s="3">
        <f ca="1">all_models_ranking__2[[#This Row],[fraction_disordered]]+0</f>
        <v>0</v>
      </c>
    </row>
    <row r="4" spans="1:7" x14ac:dyDescent="0.3">
      <c r="A4" t="s">
        <v>10</v>
      </c>
      <c r="B4" s="1" t="s">
        <v>8</v>
      </c>
      <c r="C4" s="1">
        <f ca="1">all_models_ranking__2[[#This Row],[ptm]]+0</f>
        <v>0.69</v>
      </c>
      <c r="D4" s="1">
        <f ca="1">all_models_ranking__2[[#This Row],[iptm]]+0</f>
        <v>0.42</v>
      </c>
      <c r="E4" s="1">
        <f ca="1">all_models_ranking__2[[#This Row],[ranking_score]]+0</f>
        <v>0.47</v>
      </c>
      <c r="F4" s="1">
        <f ca="1">all_models_ranking__2[[#This Row],[num_recycles]]+0</f>
        <v>10</v>
      </c>
      <c r="G4" s="1">
        <f ca="1">all_models_ranking__2[[#This Row],[fraction_disordered]]+0</f>
        <v>0</v>
      </c>
    </row>
    <row r="5" spans="1:7" x14ac:dyDescent="0.3">
      <c r="A5" t="s">
        <v>11</v>
      </c>
      <c r="B5" s="1" t="s">
        <v>8</v>
      </c>
      <c r="C5" s="1">
        <f ca="1">all_models_ranking__2[[#This Row],[ptm]]+0</f>
        <v>0.63</v>
      </c>
      <c r="D5" s="1">
        <f ca="1">all_models_ranking__2[[#This Row],[iptm]]+0</f>
        <v>0.39</v>
      </c>
      <c r="E5" s="1">
        <f ca="1">all_models_ranking__2[[#This Row],[ranking_score]]+0</f>
        <v>0.44</v>
      </c>
      <c r="F5" s="1">
        <f ca="1">all_models_ranking__2[[#This Row],[num_recycles]]+0</f>
        <v>10</v>
      </c>
      <c r="G5" s="1">
        <f ca="1">all_models_ranking__2[[#This Row],[fraction_disordered]]+0</f>
        <v>0.01</v>
      </c>
    </row>
    <row r="6" spans="1:7" x14ac:dyDescent="0.3">
      <c r="A6" t="s">
        <v>12</v>
      </c>
      <c r="B6" s="1" t="s">
        <v>8</v>
      </c>
      <c r="C6" s="1">
        <f ca="1">all_models_ranking__2[[#This Row],[ptm]]+0</f>
        <v>0.64</v>
      </c>
      <c r="D6" s="1">
        <f ca="1">all_models_ranking__2[[#This Row],[iptm]]+0</f>
        <v>0.34</v>
      </c>
      <c r="E6" s="1">
        <f ca="1">all_models_ranking__2[[#This Row],[ranking_score]]+0</f>
        <v>0.42</v>
      </c>
      <c r="F6" s="1">
        <f ca="1">all_models_ranking__2[[#This Row],[num_recycles]]+0</f>
        <v>10</v>
      </c>
      <c r="G6" s="1">
        <f ca="1">all_models_ranking__2[[#This Row],[fraction_disordered]]+0</f>
        <v>0.04</v>
      </c>
    </row>
    <row r="7" spans="1:7" x14ac:dyDescent="0.3">
      <c r="A7" s="2" t="s">
        <v>23</v>
      </c>
      <c r="B7" s="3" t="s">
        <v>8</v>
      </c>
      <c r="C7" s="3">
        <f ca="1">all_models_ranking__2[[#This Row],[ptm]]+0</f>
        <v>0.92186421155929499</v>
      </c>
      <c r="D7" s="3">
        <f ca="1">all_models_ranking__2[[#This Row],[iptm]]+0</f>
        <v>0.92517727613449097</v>
      </c>
      <c r="E7" s="3">
        <f ca="1">all_models_ranking__2[[#This Row],[ranking_score]]+0</f>
        <v>72.5</v>
      </c>
      <c r="F7" s="3">
        <f ca="1">all_models_ranking__2[[#This Row],[num_recycles]]+0</f>
        <v>0.92252683639526301</v>
      </c>
      <c r="G7" s="3">
        <f ca="1">all_models_ranking__2[[#This Row],[fraction_disordered]]+0</f>
        <v>0.42247071862220698</v>
      </c>
    </row>
    <row r="8" spans="1:7" x14ac:dyDescent="0.3">
      <c r="A8" t="s">
        <v>24</v>
      </c>
      <c r="B8" s="1" t="s">
        <v>8</v>
      </c>
      <c r="C8" s="1">
        <f ca="1">all_models_ranking__2[[#This Row],[ptm]]+0</f>
        <v>0.86323058605194003</v>
      </c>
      <c r="D8" s="1">
        <f ca="1">all_models_ranking__2[[#This Row],[iptm]]+0</f>
        <v>0.89899766445159901</v>
      </c>
      <c r="E8" s="1">
        <f ca="1">all_models_ranking__2[[#This Row],[ranking_score]]+0</f>
        <v>71</v>
      </c>
      <c r="F8" s="1">
        <f ca="1">all_models_ranking__2[[#This Row],[num_recycles]]+0</f>
        <v>0.87038403749465898</v>
      </c>
      <c r="G8" s="1">
        <f ca="1">all_models_ranking__2[[#This Row],[fraction_disordered]]+0</f>
        <v>0.47038388252258301</v>
      </c>
    </row>
    <row r="9" spans="1:7" x14ac:dyDescent="0.3">
      <c r="A9" t="s">
        <v>25</v>
      </c>
      <c r="B9" s="1" t="s">
        <v>8</v>
      </c>
      <c r="C9" s="1">
        <f ca="1">all_models_ranking__2[[#This Row],[ptm]]+0</f>
        <v>0.85373878479003895</v>
      </c>
      <c r="D9" s="1">
        <f ca="1">all_models_ranking__2[[#This Row],[iptm]]+0</f>
        <v>0.89175796508788996</v>
      </c>
      <c r="E9" s="1">
        <f ca="1">all_models_ranking__2[[#This Row],[ranking_score]]+0</f>
        <v>70</v>
      </c>
      <c r="F9" s="1">
        <f ca="1">all_models_ranking__2[[#This Row],[num_recycles]]+0</f>
        <v>0.86134260892867998</v>
      </c>
      <c r="G9" s="1">
        <f ca="1">all_models_ranking__2[[#This Row],[fraction_disordered]]+0</f>
        <v>0.499371707439422</v>
      </c>
    </row>
    <row r="10" spans="1:7" x14ac:dyDescent="0.3">
      <c r="A10" t="s">
        <v>26</v>
      </c>
      <c r="B10" s="1" t="s">
        <v>8</v>
      </c>
      <c r="C10" s="1">
        <f ca="1">all_models_ranking__2[[#This Row],[ptm]]+0</f>
        <v>0.73936861753463701</v>
      </c>
      <c r="D10" s="1">
        <f ca="1">all_models_ranking__2[[#This Row],[iptm]]+0</f>
        <v>0.82419085502624501</v>
      </c>
      <c r="E10" s="1">
        <f ca="1">all_models_ranking__2[[#This Row],[ranking_score]]+0</f>
        <v>70.5</v>
      </c>
      <c r="F10" s="1">
        <f ca="1">all_models_ranking__2[[#This Row],[num_recycles]]+0</f>
        <v>0.75633311271667403</v>
      </c>
      <c r="G10" s="1">
        <f ca="1">all_models_ranking__2[[#This Row],[fraction_disordered]]+0</f>
        <v>0.60800206661224299</v>
      </c>
    </row>
    <row r="11" spans="1:7" x14ac:dyDescent="0.3">
      <c r="A11" t="s">
        <v>27</v>
      </c>
      <c r="B11" s="3" t="s">
        <v>8</v>
      </c>
      <c r="C11" s="3">
        <f ca="1">all_models_ranking__2[[#This Row],[ptm]]+0</f>
        <v>0.73089152574539096</v>
      </c>
      <c r="D11" s="3">
        <f ca="1">all_models_ranking__2[[#This Row],[iptm]]+0</f>
        <v>0.81597316265106201</v>
      </c>
      <c r="E11" s="3">
        <f ca="1">all_models_ranking__2[[#This Row],[ranking_score]]+0</f>
        <v>69</v>
      </c>
      <c r="F11" s="3">
        <f ca="1">all_models_ranking__2[[#This Row],[num_recycles]]+0</f>
        <v>0.74790787696838301</v>
      </c>
      <c r="G11" s="3">
        <f ca="1">all_models_ranking__2[[#This Row],[fraction_disordered]]+0</f>
        <v>0.59418368339538497</v>
      </c>
    </row>
    <row r="12" spans="1:7" x14ac:dyDescent="0.3">
      <c r="A12" s="2" t="s">
        <v>13</v>
      </c>
      <c r="B12" s="3" t="s">
        <v>8</v>
      </c>
      <c r="C12" s="3">
        <f ca="1">all_models_ranking__2[[#This Row],[ptm]]+0</f>
        <v>0.891837418079376</v>
      </c>
      <c r="D12" s="3">
        <f ca="1">all_models_ranking__2[[#This Row],[iptm]]+0</f>
        <v>0.89318174123764005</v>
      </c>
      <c r="E12" s="3">
        <f ca="1">all_models_ranking__2[[#This Row],[ranking_score]]+0</f>
        <v>89.5</v>
      </c>
      <c r="F12" s="3">
        <f ca="1">all_models_ranking__2[[#This Row],[num_recycles]]+0</f>
        <v>0.89210629463195801</v>
      </c>
      <c r="G12" s="3">
        <f ca="1">all_models_ranking__2[[#This Row],[fraction_disordered]]+0</f>
        <v>0.36468812823295499</v>
      </c>
    </row>
    <row r="13" spans="1:7" x14ac:dyDescent="0.3">
      <c r="A13" t="s">
        <v>14</v>
      </c>
      <c r="B13" s="1" t="s">
        <v>8</v>
      </c>
      <c r="C13" s="1">
        <f ca="1">all_models_ranking__2[[#This Row],[ptm]]+0</f>
        <v>0.88563013076782204</v>
      </c>
      <c r="D13" s="1">
        <f ca="1">all_models_ranking__2[[#This Row],[iptm]]+0</f>
        <v>0.896659135818481</v>
      </c>
      <c r="E13" s="1">
        <f ca="1">all_models_ranking__2[[#This Row],[ranking_score]]+0</f>
        <v>88</v>
      </c>
      <c r="F13" s="1">
        <f ca="1">all_models_ranking__2[[#This Row],[num_recycles]]+0</f>
        <v>0.88783597946166903</v>
      </c>
      <c r="G13" s="1">
        <f ca="1">all_models_ranking__2[[#This Row],[fraction_disordered]]+0</f>
        <v>0.37482583522796598</v>
      </c>
    </row>
    <row r="14" spans="1:7" x14ac:dyDescent="0.3">
      <c r="A14" t="s">
        <v>15</v>
      </c>
      <c r="B14" s="1" t="s">
        <v>8</v>
      </c>
      <c r="C14" s="1">
        <f ca="1">all_models_ranking__2[[#This Row],[ptm]]+0</f>
        <v>0.88284236192703203</v>
      </c>
      <c r="D14" s="1">
        <f ca="1">all_models_ranking__2[[#This Row],[iptm]]+0</f>
        <v>0.89004933834075906</v>
      </c>
      <c r="E14" s="1">
        <f ca="1">all_models_ranking__2[[#This Row],[ranking_score]]+0</f>
        <v>89</v>
      </c>
      <c r="F14" s="1">
        <f ca="1">all_models_ranking__2[[#This Row],[num_recycles]]+0</f>
        <v>0.88428378105163497</v>
      </c>
      <c r="G14" s="1">
        <f ca="1">all_models_ranking__2[[#This Row],[fraction_disordered]]+0</f>
        <v>0.382185518741607</v>
      </c>
    </row>
    <row r="15" spans="1:7" x14ac:dyDescent="0.3">
      <c r="A15" t="s">
        <v>16</v>
      </c>
      <c r="B15" s="1" t="s">
        <v>8</v>
      </c>
      <c r="C15" s="1">
        <f ca="1">all_models_ranking__2[[#This Row],[ptm]]+0</f>
        <v>0.86751067638397195</v>
      </c>
      <c r="D15" s="1">
        <f ca="1">all_models_ranking__2[[#This Row],[iptm]]+0</f>
        <v>0.88038629293441695</v>
      </c>
      <c r="E15" s="1">
        <f ca="1">all_models_ranking__2[[#This Row],[ranking_score]]+0</f>
        <v>88.5</v>
      </c>
      <c r="F15" s="1">
        <f ca="1">all_models_ranking__2[[#This Row],[num_recycles]]+0</f>
        <v>0.87008577585220304</v>
      </c>
      <c r="G15" s="1">
        <f ca="1">all_models_ranking__2[[#This Row],[fraction_disordered]]+0</f>
        <v>0.37404021620750399</v>
      </c>
    </row>
    <row r="16" spans="1:7" x14ac:dyDescent="0.3">
      <c r="A16" t="s">
        <v>17</v>
      </c>
      <c r="B16" s="1" t="s">
        <v>8</v>
      </c>
      <c r="C16" s="1">
        <f ca="1">all_models_ranking__2[[#This Row],[ptm]]+0</f>
        <v>0.509188592433929</v>
      </c>
      <c r="D16" s="1">
        <f ca="1">all_models_ranking__2[[#This Row],[iptm]]+0</f>
        <v>0.750896036624908</v>
      </c>
      <c r="E16" s="1">
        <f ca="1">all_models_ranking__2[[#This Row],[ranking_score]]+0</f>
        <v>86.5</v>
      </c>
      <c r="F16" s="1">
        <f ca="1">all_models_ranking__2[[#This Row],[num_recycles]]+0</f>
        <v>0.55753004550933805</v>
      </c>
      <c r="G16" s="1">
        <f ca="1">all_models_ranking__2[[#This Row],[fraction_disordered]]+0</f>
        <v>0.55073916912078802</v>
      </c>
    </row>
    <row r="17" spans="1:7" x14ac:dyDescent="0.3">
      <c r="A17" s="2" t="s">
        <v>18</v>
      </c>
      <c r="B17" s="3" t="s">
        <v>8</v>
      </c>
      <c r="C17" s="3">
        <f ca="1">all_models_ranking__2[[#This Row],[ptm]]+0</f>
        <v>0.75152909755706698</v>
      </c>
      <c r="D17" s="3">
        <f ca="1">all_models_ranking__2[[#This Row],[iptm]]+0</f>
        <v>0.82678484916687001</v>
      </c>
      <c r="E17" s="3">
        <f ca="1">all_models_ranking__2[[#This Row],[ranking_score]]+0</f>
        <v>64.5</v>
      </c>
      <c r="F17" s="3">
        <f ca="1">all_models_ranking__2[[#This Row],[num_recycles]]+0</f>
        <v>0.76658028364181496</v>
      </c>
      <c r="G17" s="3">
        <f ca="1">all_models_ranking__2[[#This Row],[fraction_disordered]]+0</f>
        <v>0.69416970014572099</v>
      </c>
    </row>
    <row r="18" spans="1:7" x14ac:dyDescent="0.3">
      <c r="A18" t="s">
        <v>19</v>
      </c>
      <c r="B18" s="1" t="s">
        <v>8</v>
      </c>
      <c r="C18" s="1">
        <f ca="1">all_models_ranking__2[[#This Row],[ptm]]+0</f>
        <v>0.74032658338546697</v>
      </c>
      <c r="D18" s="1">
        <f ca="1">all_models_ranking__2[[#This Row],[iptm]]+0</f>
        <v>0.82122629880905096</v>
      </c>
      <c r="E18" s="1">
        <f ca="1">all_models_ranking__2[[#This Row],[ranking_score]]+0</f>
        <v>63.25</v>
      </c>
      <c r="F18" s="1">
        <f ca="1">all_models_ranking__2[[#This Row],[num_recycles]]+0</f>
        <v>0.75650650262832597</v>
      </c>
      <c r="G18" s="1">
        <f ca="1">all_models_ranking__2[[#This Row],[fraction_disordered]]+0</f>
        <v>0.69395363330840998</v>
      </c>
    </row>
    <row r="19" spans="1:7" x14ac:dyDescent="0.3">
      <c r="A19" t="s">
        <v>20</v>
      </c>
      <c r="B19" s="1" t="s">
        <v>8</v>
      </c>
      <c r="C19" s="1">
        <f ca="1">all_models_ranking__2[[#This Row],[ptm]]+0</f>
        <v>0.73654973506927401</v>
      </c>
      <c r="D19" s="1">
        <f ca="1">all_models_ranking__2[[#This Row],[iptm]]+0</f>
        <v>0.82089734077453602</v>
      </c>
      <c r="E19" s="1">
        <f ca="1">all_models_ranking__2[[#This Row],[ranking_score]]+0</f>
        <v>63.25</v>
      </c>
      <c r="F19" s="1">
        <f ca="1">all_models_ranking__2[[#This Row],[num_recycles]]+0</f>
        <v>0.75341928005218495</v>
      </c>
      <c r="G19" s="1">
        <f ca="1">all_models_ranking__2[[#This Row],[fraction_disordered]]+0</f>
        <v>0.66938751935958796</v>
      </c>
    </row>
    <row r="20" spans="1:7" x14ac:dyDescent="0.3">
      <c r="A20" t="s">
        <v>21</v>
      </c>
      <c r="B20" s="1" t="s">
        <v>8</v>
      </c>
      <c r="C20" s="1">
        <f ca="1">all_models_ranking__2[[#This Row],[ptm]]+0</f>
        <v>0.72689610719680697</v>
      </c>
      <c r="D20" s="1">
        <f ca="1">all_models_ranking__2[[#This Row],[iptm]]+0</f>
        <v>0.81750386953353804</v>
      </c>
      <c r="E20" s="1">
        <f ca="1">all_models_ranking__2[[#This Row],[ranking_score]]+0</f>
        <v>64</v>
      </c>
      <c r="F20" s="1">
        <f ca="1">all_models_ranking__2[[#This Row],[num_recycles]]+0</f>
        <v>0.74501770734786898</v>
      </c>
      <c r="G20" s="1">
        <f ca="1">all_models_ranking__2[[#This Row],[fraction_disordered]]+0</f>
        <v>0.68765461444854703</v>
      </c>
    </row>
    <row r="21" spans="1:7" x14ac:dyDescent="0.3">
      <c r="A21" t="s">
        <v>22</v>
      </c>
      <c r="B21" s="1" t="s">
        <v>8</v>
      </c>
      <c r="C21" s="1">
        <f ca="1">all_models_ranking__2[[#This Row],[ptm]]+0</f>
        <v>0.70413267612457198</v>
      </c>
      <c r="D21" s="1">
        <f ca="1">all_models_ranking__2[[#This Row],[iptm]]+0</f>
        <v>0.80406534671783403</v>
      </c>
      <c r="E21" s="1">
        <f ca="1">all_models_ranking__2[[#This Row],[ranking_score]]+0</f>
        <v>64</v>
      </c>
      <c r="F21" s="1">
        <f ca="1">all_models_ranking__2[[#This Row],[num_recycles]]+0</f>
        <v>0.72411924600601196</v>
      </c>
      <c r="G21" s="1">
        <f ca="1">all_models_ranking__2[[#This Row],[fraction_disordered]]+0</f>
        <v>0.70782029628753595</v>
      </c>
    </row>
    <row r="22" spans="1:7" x14ac:dyDescent="0.3">
      <c r="A22" s="2" t="s">
        <v>28</v>
      </c>
      <c r="B22" s="5" t="s">
        <v>8</v>
      </c>
      <c r="C22" s="3">
        <v>0.26330080628394997</v>
      </c>
      <c r="D22" s="3">
        <v>0.396427601575851</v>
      </c>
      <c r="E22" s="3">
        <v>61.691356658935497</v>
      </c>
      <c r="F22" s="3">
        <v>0.28992617130279502</v>
      </c>
      <c r="G22" s="3">
        <v>1.9062919616699201</v>
      </c>
    </row>
    <row r="23" spans="1:7" x14ac:dyDescent="0.3">
      <c r="A23" t="s">
        <v>29</v>
      </c>
      <c r="B23" s="4" t="s">
        <v>8</v>
      </c>
      <c r="C23" s="1">
        <v>0.25112301111221302</v>
      </c>
      <c r="D23" s="1">
        <v>0.38987889885902399</v>
      </c>
      <c r="E23" s="1">
        <v>61.090911865234297</v>
      </c>
      <c r="F23" s="1">
        <v>0.27887418866157498</v>
      </c>
      <c r="G23" s="1">
        <v>1.92694652080535</v>
      </c>
    </row>
    <row r="24" spans="1:7" x14ac:dyDescent="0.3">
      <c r="A24" t="s">
        <v>30</v>
      </c>
      <c r="B24" s="4" t="s">
        <v>8</v>
      </c>
      <c r="C24" s="1">
        <v>0.219393745064735</v>
      </c>
      <c r="D24" s="1">
        <v>0.38987889885902399</v>
      </c>
      <c r="E24" s="1">
        <v>60.449008941650298</v>
      </c>
      <c r="F24" s="1">
        <v>0.25510972738265902</v>
      </c>
      <c r="G24" s="1">
        <v>1.9043743610382</v>
      </c>
    </row>
    <row r="25" spans="1:7" x14ac:dyDescent="0.3">
      <c r="A25" t="s">
        <v>31</v>
      </c>
      <c r="B25" s="4" t="s">
        <v>8</v>
      </c>
      <c r="C25" s="1">
        <v>0.21973995864391299</v>
      </c>
      <c r="D25" s="1">
        <v>0.38987889885902399</v>
      </c>
      <c r="E25" s="1">
        <v>60.856269836425703</v>
      </c>
      <c r="F25" s="1">
        <v>0.25258958339691101</v>
      </c>
      <c r="G25" s="1">
        <v>1.9213573932647701</v>
      </c>
    </row>
    <row r="26" spans="1:7" x14ac:dyDescent="0.3">
      <c r="A26" t="s">
        <v>32</v>
      </c>
      <c r="B26" s="4" t="s">
        <v>8</v>
      </c>
      <c r="C26" s="1">
        <v>0.204161822795867</v>
      </c>
      <c r="D26" s="1">
        <v>0.38987889885902399</v>
      </c>
      <c r="E26" s="1">
        <v>60.860885620117102</v>
      </c>
      <c r="F26" s="1">
        <v>0.242010623216629</v>
      </c>
      <c r="G26" s="1">
        <v>1.92251312732696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72148C-1A5A-437F-A0CB-270773C47A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all_models_ranking (3)</vt:lpstr>
      <vt:lpstr>all_models_ranking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Aimer Gutierrez Diaz</dc:creator>
  <cp:lastModifiedBy>Aimer Gutierrez Diaz</cp:lastModifiedBy>
  <dcterms:created xsi:type="dcterms:W3CDTF">2025-06-03T14:31:11Z</dcterms:created>
  <dcterms:modified xsi:type="dcterms:W3CDTF">2025-06-12T18:49:54Z</dcterms:modified>
</cp:coreProperties>
</file>